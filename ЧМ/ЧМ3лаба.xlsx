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FBF4AB-B09B-4641-B055-8FD4F943A6DB}" xr6:coauthVersionLast="47" xr6:coauthVersionMax="47" xr10:uidLastSave="{00000000-0000-0000-0000-000000000000}"/>
  <bookViews>
    <workbookView xWindow="-108" yWindow="-108" windowWidth="23256" windowHeight="12456" xr2:uid="{5102611B-5287-4E6E-98DA-BFF68C6729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4" i="1" l="1"/>
  <c r="P34" i="1"/>
  <c r="N39" i="1"/>
  <c r="J46" i="1"/>
  <c r="N46" i="1" s="1"/>
  <c r="K46" i="1"/>
  <c r="L46" i="1"/>
  <c r="M46" i="1"/>
  <c r="N40" i="1"/>
  <c r="N41" i="1"/>
  <c r="N42" i="1"/>
  <c r="N43" i="1"/>
  <c r="N44" i="1"/>
  <c r="N45" i="1"/>
  <c r="J44" i="1"/>
  <c r="J40" i="1"/>
  <c r="J45" i="1"/>
  <c r="K45" i="1"/>
  <c r="L45" i="1"/>
  <c r="M45" i="1"/>
  <c r="J43" i="1"/>
  <c r="K44" i="1" s="1"/>
  <c r="K43" i="1"/>
  <c r="L43" i="1"/>
  <c r="M43" i="1"/>
  <c r="J41" i="1"/>
  <c r="K42" i="1" s="1"/>
  <c r="K41" i="1"/>
  <c r="J42" i="1" s="1"/>
  <c r="L41" i="1"/>
  <c r="M41" i="1"/>
  <c r="K40" i="1"/>
  <c r="L40" i="1"/>
  <c r="M40" i="1"/>
  <c r="M39" i="1"/>
  <c r="K39" i="1"/>
  <c r="L39" i="1"/>
  <c r="J39" i="1"/>
  <c r="K35" i="1"/>
  <c r="K34" i="1"/>
  <c r="B39" i="1" a="1"/>
  <c r="B39" i="1" s="1"/>
  <c r="F37" i="1" a="1"/>
  <c r="F37" i="1" s="1"/>
  <c r="F36" i="1" a="1"/>
  <c r="F36" i="1" s="1"/>
  <c r="F35" i="1" a="1"/>
  <c r="F35" i="1" s="1"/>
  <c r="F34" i="1" a="1"/>
  <c r="F34" i="1" s="1"/>
  <c r="T18" i="1"/>
  <c r="T17" i="1"/>
  <c r="T16" i="1"/>
  <c r="T15" i="1"/>
  <c r="P25" i="1"/>
  <c r="Q25" i="1"/>
  <c r="O25" i="1"/>
  <c r="H22" i="1"/>
  <c r="I22" i="1"/>
  <c r="J22" i="1"/>
  <c r="K22" i="1"/>
  <c r="I20" i="1"/>
  <c r="J20" i="1"/>
  <c r="K20" i="1"/>
  <c r="H20" i="1"/>
  <c r="A26" i="1"/>
  <c r="B30" i="1"/>
  <c r="C30" i="1"/>
  <c r="D30" i="1"/>
  <c r="E30" i="1"/>
  <c r="A30" i="1"/>
  <c r="B27" i="1"/>
  <c r="E26" i="1"/>
  <c r="D26" i="1"/>
  <c r="C26" i="1"/>
  <c r="B26" i="1"/>
  <c r="C27" i="1"/>
  <c r="D27" i="1"/>
  <c r="E27" i="1"/>
  <c r="A27" i="1"/>
  <c r="B21" i="1"/>
  <c r="C21" i="1"/>
  <c r="D21" i="1"/>
  <c r="E21" i="1"/>
  <c r="A21" i="1"/>
  <c r="H6" i="1"/>
  <c r="F11" i="1" a="1"/>
  <c r="F11" i="1" s="1"/>
  <c r="F10" i="1" a="1"/>
  <c r="F10" i="1" s="1"/>
  <c r="F9" i="1" a="1"/>
  <c r="F9" i="1" s="1"/>
  <c r="F8" i="1" a="1"/>
  <c r="F8" i="1" s="1"/>
  <c r="F4" i="1" a="1"/>
  <c r="F4" i="1" s="1"/>
  <c r="F3" i="1" a="1"/>
  <c r="F3" i="1" s="1"/>
  <c r="F2" i="1" a="1"/>
  <c r="F2" i="1" s="1"/>
  <c r="F1" i="1" a="1"/>
  <c r="F1" i="1" s="1"/>
  <c r="A5" i="1"/>
  <c r="A8" i="1" a="1"/>
  <c r="A8" i="1" s="1"/>
  <c r="L44" i="1" l="1"/>
  <c r="M44" i="1"/>
  <c r="M42" i="1"/>
  <c r="L42" i="1"/>
  <c r="G34" i="1"/>
  <c r="G1" i="1"/>
  <c r="G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<sst xmlns="http://schemas.openxmlformats.org/spreadsheetml/2006/main" count="20" uniqueCount="20">
  <si>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I</t>
  </si>
  <si>
    <t>II</t>
  </si>
  <si>
    <t>3 задание:</t>
  </si>
  <si>
    <t>III</t>
  </si>
  <si>
    <t>IV</t>
  </si>
  <si>
    <t>x4=</t>
  </si>
  <si>
    <t>x3=</t>
  </si>
  <si>
    <t>x2=</t>
  </si>
  <si>
    <t>x1=</t>
  </si>
  <si>
    <t>6 задание</t>
  </si>
  <si>
    <t>7 задание</t>
  </si>
  <si>
    <t>k1=</t>
  </si>
  <si>
    <t>k2=</t>
  </si>
  <si>
    <t>x1</t>
  </si>
  <si>
    <t>x4</t>
  </si>
  <si>
    <t>x3</t>
  </si>
  <si>
    <t>x2</t>
  </si>
  <si>
    <t>e</t>
  </si>
  <si>
    <t>8 задание</t>
  </si>
  <si>
    <t>9 задание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</si>
</sst>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533400</xdr:colOff>
      <xdr:row>37</xdr:row>
      <xdr:rowOff>160020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88606C-F4DE-6494-44E7-A308904E940A}"/>
            </a:ext>
          </a:extLst>
        </xdr:cNvPr>
        <xdr:cNvSpPr txBox="1"/>
      </xdr:nvSpPr>
      <xdr:spPr>
        <a:xfrm>
          <a:off x="6629400" y="69265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38</xdr:row>
      <xdr:rowOff>160020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D39D64-DD10-4D12-BD38-B8D6935CC426}"/>
            </a:ext>
          </a:extLst>
        </xdr:cNvPr>
        <xdr:cNvSpPr txBox="1"/>
      </xdr:nvSpPr>
      <xdr:spPr>
        <a:xfrm>
          <a:off x="6629400" y="69265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39</xdr:row>
      <xdr:rowOff>160020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07C73DE-8BF4-40A4-AF7F-F8EE95A7AE3A}"/>
            </a:ext>
          </a:extLst>
        </xdr:cNvPr>
        <xdr:cNvSpPr txBox="1"/>
      </xdr:nvSpPr>
      <xdr:spPr>
        <a:xfrm>
          <a:off x="6629400" y="71094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40</xdr:row>
      <xdr:rowOff>160020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2EEBCC-567E-433E-8E40-561DE8F6D9F0}"/>
            </a:ext>
          </a:extLst>
        </xdr:cNvPr>
        <xdr:cNvSpPr txBox="1"/>
      </xdr:nvSpPr>
      <xdr:spPr>
        <a:xfrm>
          <a:off x="6629400" y="71094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41</xdr:row>
      <xdr:rowOff>160020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766E9BA-E560-42D0-AB00-6ACED5E45E7D}"/>
            </a:ext>
          </a:extLst>
        </xdr:cNvPr>
        <xdr:cNvSpPr txBox="1"/>
      </xdr:nvSpPr>
      <xdr:spPr>
        <a:xfrm>
          <a:off x="6629400" y="72923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41</xdr:row>
      <xdr:rowOff>160020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C07607C-281A-4AB2-98D9-7B6F719DB0BC}"/>
            </a:ext>
          </a:extLst>
        </xdr:cNvPr>
        <xdr:cNvSpPr txBox="1"/>
      </xdr:nvSpPr>
      <xdr:spPr>
        <a:xfrm>
          <a:off x="6629400" y="7475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42</xdr:row>
      <xdr:rowOff>160020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6C9A98F-6981-47A4-937D-6BF48A997D42}"/>
            </a:ext>
          </a:extLst>
        </xdr:cNvPr>
        <xdr:cNvSpPr txBox="1"/>
      </xdr:nvSpPr>
      <xdr:spPr>
        <a:xfrm>
          <a:off x="6629400" y="7658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42</xdr:row>
      <xdr:rowOff>160020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8AAFBDC-D050-43C6-AB85-004CEAE66B54}"/>
            </a:ext>
          </a:extLst>
        </xdr:cNvPr>
        <xdr:cNvSpPr txBox="1"/>
      </xdr:nvSpPr>
      <xdr:spPr>
        <a:xfrm>
          <a:off x="6629400" y="7475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43</xdr:row>
      <xdr:rowOff>160020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7DDF54C-EAA2-43DD-9D93-BA300F081FCD}"/>
            </a:ext>
          </a:extLst>
        </xdr:cNvPr>
        <xdr:cNvSpPr txBox="1"/>
      </xdr:nvSpPr>
      <xdr:spPr>
        <a:xfrm>
          <a:off x="6629400" y="7658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43</xdr:row>
      <xdr:rowOff>160020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A6E0299-6A06-4B66-89B9-C939DC24B94C}"/>
            </a:ext>
          </a:extLst>
        </xdr:cNvPr>
        <xdr:cNvSpPr txBox="1"/>
      </xdr:nvSpPr>
      <xdr:spPr>
        <a:xfrm>
          <a:off x="6629400" y="7658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43</xdr:row>
      <xdr:rowOff>160020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1917274-0F6E-40AB-BCC7-16CDFD34B73D}"/>
            </a:ext>
          </a:extLst>
        </xdr:cNvPr>
        <xdr:cNvSpPr txBox="1"/>
      </xdr:nvSpPr>
      <xdr:spPr>
        <a:xfrm>
          <a:off x="6629400" y="78409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43</xdr:row>
      <xdr:rowOff>160020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1B108F4-DBDF-42C7-88FE-DBCE173D1164}"/>
            </a:ext>
          </a:extLst>
        </xdr:cNvPr>
        <xdr:cNvSpPr txBox="1"/>
      </xdr:nvSpPr>
      <xdr:spPr>
        <a:xfrm>
          <a:off x="6629400" y="78409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44</xdr:row>
      <xdr:rowOff>160020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04EA530-AA40-46B6-AEE6-7682C4495931}"/>
            </a:ext>
          </a:extLst>
        </xdr:cNvPr>
        <xdr:cNvSpPr txBox="1"/>
      </xdr:nvSpPr>
      <xdr:spPr>
        <a:xfrm>
          <a:off x="6629400" y="80238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44</xdr:row>
      <xdr:rowOff>160020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0DE111F-6A09-4556-918A-9C5B16F67CD7}"/>
            </a:ext>
          </a:extLst>
        </xdr:cNvPr>
        <xdr:cNvSpPr txBox="1"/>
      </xdr:nvSpPr>
      <xdr:spPr>
        <a:xfrm>
          <a:off x="6629400" y="80238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44</xdr:row>
      <xdr:rowOff>160020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5BBCEEA-4D50-488B-9EB8-FDA4A7419A31}"/>
            </a:ext>
          </a:extLst>
        </xdr:cNvPr>
        <xdr:cNvSpPr txBox="1"/>
      </xdr:nvSpPr>
      <xdr:spPr>
        <a:xfrm>
          <a:off x="6629400" y="80238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44</xdr:row>
      <xdr:rowOff>160020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9807003-7268-4F68-85F5-5BB923AF94D6}"/>
            </a:ext>
          </a:extLst>
        </xdr:cNvPr>
        <xdr:cNvSpPr txBox="1"/>
      </xdr:nvSpPr>
      <xdr:spPr>
        <a:xfrm>
          <a:off x="6629400" y="80238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44</xdr:row>
      <xdr:rowOff>160020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6986844-22DA-499D-BF66-7583ECCA4F53}"/>
            </a:ext>
          </a:extLst>
        </xdr:cNvPr>
        <xdr:cNvSpPr txBox="1"/>
      </xdr:nvSpPr>
      <xdr:spPr>
        <a:xfrm>
          <a:off x="6629400" y="80238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44</xdr:row>
      <xdr:rowOff>160020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B5D9381-E5DB-424B-AD57-9E9F0975EFE3}"/>
            </a:ext>
          </a:extLst>
        </xdr:cNvPr>
        <xdr:cNvSpPr txBox="1"/>
      </xdr:nvSpPr>
      <xdr:spPr>
        <a:xfrm>
          <a:off x="6629400" y="80238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45</xdr:row>
      <xdr:rowOff>160020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01C2DA3-C426-4599-9DBF-2479FB5124D8}"/>
            </a:ext>
          </a:extLst>
        </xdr:cNvPr>
        <xdr:cNvSpPr txBox="1"/>
      </xdr:nvSpPr>
      <xdr:spPr>
        <a:xfrm>
          <a:off x="6629400" y="82067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533400</xdr:colOff>
      <xdr:row>45</xdr:row>
      <xdr:rowOff>160020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E3795E9-2188-4051-B216-631606AE1C59}"/>
            </a:ext>
          </a:extLst>
        </xdr:cNvPr>
        <xdr:cNvSpPr txBox="1"/>
      </xdr:nvSpPr>
      <xdr:spPr>
        <a:xfrm>
          <a:off x="6629400" y="82067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E1BF-C234-4B4A-85B0-B26B0F515A9A}">
  <dimension ref="A1:T46"/>
  <sheetViews>
    <sheetView tabSelected="1" topLeftCell="E26" zoomScaleNormal="100" workbookViewId="0">
      <selection activeCell="P34" sqref="P34"/>
    </sheetView>
  </sheetViews>
  <sheetFormatPr defaultRowHeight="14.4" x14ac:dyDescent="0.3"/>
  <cols>
    <col min="20" max="21" width="11.6640625" bestFit="1" customWidth="1"/>
  </cols>
  <sheetData>
    <row r="1" spans="1:20" x14ac:dyDescent="0.3">
      <c r="A1">
        <v>1.2</v>
      </c>
      <c r="B1">
        <v>11.2</v>
      </c>
      <c r="C1">
        <v>1.5</v>
      </c>
      <c r="D1">
        <v>2.5</v>
      </c>
      <c r="F1" cm="1">
        <f t="array" ref="F1">SUM(ABS(A1:A4))</f>
        <v>14.7</v>
      </c>
      <c r="G1">
        <f>MAX(F1:F4)</f>
        <v>16.8</v>
      </c>
    </row>
    <row r="2" spans="1:20" x14ac:dyDescent="0.3">
      <c r="A2">
        <v>10.5</v>
      </c>
      <c r="B2">
        <v>-1.2</v>
      </c>
      <c r="C2">
        <v>2.1</v>
      </c>
      <c r="D2">
        <v>0.9</v>
      </c>
      <c r="F2" cm="1">
        <f t="array" ref="F2">SUM(ABS(B1:B4))</f>
        <v>16.399999999999999</v>
      </c>
    </row>
    <row r="3" spans="1:20" x14ac:dyDescent="0.3">
      <c r="A3">
        <v>0.9</v>
      </c>
      <c r="B3">
        <v>2.5</v>
      </c>
      <c r="C3">
        <v>1.3</v>
      </c>
      <c r="D3">
        <v>12.1</v>
      </c>
      <c r="F3" cm="1">
        <f t="array" ref="F3">SUM(ABS(C1:C4))</f>
        <v>14.700000000000001</v>
      </c>
    </row>
    <row r="4" spans="1:20" x14ac:dyDescent="0.3">
      <c r="A4">
        <v>2.1</v>
      </c>
      <c r="B4">
        <v>1.5</v>
      </c>
      <c r="C4">
        <v>-9.8000000000000007</v>
      </c>
      <c r="D4">
        <v>1.3</v>
      </c>
      <c r="F4" cm="1">
        <f t="array" ref="F4">SUM(ABS(D1:D4))</f>
        <v>16.8</v>
      </c>
    </row>
    <row r="5" spans="1:20" x14ac:dyDescent="0.3">
      <c r="A5">
        <f>MDETERM(A1:D4)</f>
        <v>-14295.794099999999</v>
      </c>
    </row>
    <row r="6" spans="1:20" x14ac:dyDescent="0.3">
      <c r="H6">
        <f>G1*G8</f>
        <v>2.2669115526782808</v>
      </c>
    </row>
    <row r="8" spans="1:20" x14ac:dyDescent="0.3">
      <c r="A8" cm="1">
        <f t="array" ref="A8:D11">MINVERSE(A1:D4)</f>
        <v>9.5719761380726673E-3</v>
      </c>
      <c r="B8">
        <v>9.1163106497175975E-2</v>
      </c>
      <c r="C8">
        <v>-1.0859837439880306E-2</v>
      </c>
      <c r="D8">
        <v>1.9559459099932053E-2</v>
      </c>
      <c r="F8" cm="1">
        <f t="array" ref="F8">SUM(ABS(A8:A11))</f>
        <v>0.13493521146894527</v>
      </c>
      <c r="G8">
        <f>MAX(F8:F11)</f>
        <v>0.13493521146894527</v>
      </c>
    </row>
    <row r="9" spans="1:20" x14ac:dyDescent="0.3">
      <c r="A9">
        <v>9.1169751808330826E-2</v>
      </c>
      <c r="B9">
        <v>-1.0619137274787695E-2</v>
      </c>
      <c r="C9">
        <v>-1.9030422381363203E-2</v>
      </c>
      <c r="D9">
        <v>9.1545806469050927E-3</v>
      </c>
      <c r="F9" cm="1">
        <f t="array" ref="F9">SUM(ABS(B8:B11))</f>
        <v>0.12525963842750085</v>
      </c>
    </row>
    <row r="10" spans="1:20" x14ac:dyDescent="0.3">
      <c r="A10">
        <v>1.3224029296840531E-2</v>
      </c>
      <c r="B10">
        <v>1.7058024079963489E-2</v>
      </c>
      <c r="C10">
        <v>6.2626111829632465E-3</v>
      </c>
      <c r="D10">
        <v>-9.5530684790710571E-2</v>
      </c>
      <c r="F10" cm="1">
        <f t="array" ref="F10">SUM(ABS(C8:C11))</f>
        <v>0.1228643185340785</v>
      </c>
    </row>
    <row r="11" spans="1:20" x14ac:dyDescent="0.3">
      <c r="A11">
        <v>-2.0969454225701251E-2</v>
      </c>
      <c r="B11">
        <v>-6.4193705755736926E-3</v>
      </c>
      <c r="C11">
        <v>8.6711447529871741E-2</v>
      </c>
      <c r="D11">
        <v>6.9173492083241458E-3</v>
      </c>
      <c r="F11" cm="1">
        <f t="array" ref="F11">SUM(ABS(D8:D11))</f>
        <v>0.13116207374587185</v>
      </c>
    </row>
    <row r="13" spans="1:20" x14ac:dyDescent="0.3">
      <c r="A13" t="s">
        <v>2</v>
      </c>
    </row>
    <row r="14" spans="1:20" x14ac:dyDescent="0.3">
      <c r="A14" t="s">
        <v>0</v>
      </c>
      <c r="G14" t="s">
        <v>1</v>
      </c>
      <c r="M14" t="s">
        <v>3</v>
      </c>
      <c r="S14" t="s">
        <v>4</v>
      </c>
    </row>
    <row r="15" spans="1:20" x14ac:dyDescent="0.3">
      <c r="A15">
        <v>10.5</v>
      </c>
      <c r="B15">
        <v>-1.2</v>
      </c>
      <c r="C15">
        <v>2.1</v>
      </c>
      <c r="D15">
        <v>0.9</v>
      </c>
      <c r="E15">
        <v>17.7</v>
      </c>
      <c r="G15">
        <v>10.5</v>
      </c>
      <c r="H15">
        <v>-1.2</v>
      </c>
      <c r="I15">
        <v>2.1</v>
      </c>
      <c r="J15">
        <v>0.9</v>
      </c>
      <c r="K15">
        <v>17.7</v>
      </c>
      <c r="M15">
        <v>10.5</v>
      </c>
      <c r="N15">
        <v>-1.2</v>
      </c>
      <c r="O15">
        <v>2.1</v>
      </c>
      <c r="P15">
        <v>0.9</v>
      </c>
      <c r="Q15">
        <v>17.7</v>
      </c>
      <c r="S15" t="s">
        <v>5</v>
      </c>
      <c r="T15">
        <f>Q25/P25</f>
        <v>0.99937538507297785</v>
      </c>
    </row>
    <row r="16" spans="1:20" x14ac:dyDescent="0.3">
      <c r="A16">
        <v>1.2</v>
      </c>
      <c r="B16">
        <v>11.2</v>
      </c>
      <c r="C16">
        <v>1.5</v>
      </c>
      <c r="D16">
        <v>2.5</v>
      </c>
      <c r="E16">
        <v>1.9</v>
      </c>
      <c r="G16">
        <v>0</v>
      </c>
      <c r="H16">
        <v>11.337</v>
      </c>
      <c r="I16">
        <v>1.26</v>
      </c>
      <c r="J16">
        <v>2.4</v>
      </c>
      <c r="K16">
        <v>-0.123</v>
      </c>
      <c r="M16">
        <v>0</v>
      </c>
      <c r="N16">
        <v>11.337</v>
      </c>
      <c r="O16">
        <v>1.26</v>
      </c>
      <c r="P16">
        <v>2.4</v>
      </c>
      <c r="Q16">
        <v>-0.123</v>
      </c>
      <c r="S16" t="s">
        <v>6</v>
      </c>
      <c r="T16">
        <f>(Q22-T15*P22)/O22</f>
        <v>-2.0010056158689018</v>
      </c>
    </row>
    <row r="17" spans="1:20" x14ac:dyDescent="0.3">
      <c r="A17">
        <v>0.9</v>
      </c>
      <c r="B17">
        <v>2.5</v>
      </c>
      <c r="C17">
        <v>1.3</v>
      </c>
      <c r="D17">
        <v>12.1</v>
      </c>
      <c r="E17">
        <v>11.3</v>
      </c>
      <c r="G17">
        <v>0</v>
      </c>
      <c r="H17">
        <v>2.6</v>
      </c>
      <c r="I17">
        <v>1.1200000000000001</v>
      </c>
      <c r="J17">
        <v>12.02</v>
      </c>
      <c r="K17">
        <v>9.7799999999999994</v>
      </c>
      <c r="M17">
        <v>0</v>
      </c>
      <c r="N17">
        <v>0</v>
      </c>
      <c r="O17">
        <v>0.83099999999999996</v>
      </c>
      <c r="P17">
        <v>11.47</v>
      </c>
      <c r="Q17">
        <v>9.8000000000000007</v>
      </c>
      <c r="S17" t="s">
        <v>7</v>
      </c>
      <c r="T17">
        <f>(Q16-T15*P16-T16*O16)/N16</f>
        <v>-2.0626989532554006E-5</v>
      </c>
    </row>
    <row r="18" spans="1:20" x14ac:dyDescent="0.3">
      <c r="A18">
        <v>2.1</v>
      </c>
      <c r="B18">
        <v>1.5</v>
      </c>
      <c r="C18">
        <v>-9.8000000000000007</v>
      </c>
      <c r="D18">
        <v>1.3</v>
      </c>
      <c r="E18">
        <v>25.1</v>
      </c>
      <c r="G18">
        <v>0</v>
      </c>
      <c r="H18">
        <v>1.74</v>
      </c>
      <c r="I18">
        <v>-10.220000000000001</v>
      </c>
      <c r="J18">
        <v>1.1200000000000001</v>
      </c>
      <c r="K18">
        <v>21.56</v>
      </c>
      <c r="M18">
        <v>0</v>
      </c>
      <c r="N18">
        <v>0</v>
      </c>
      <c r="O18">
        <v>-10.41</v>
      </c>
      <c r="P18">
        <v>0.75</v>
      </c>
      <c r="Q18">
        <v>21.58</v>
      </c>
      <c r="S18" t="s">
        <v>8</v>
      </c>
      <c r="T18">
        <f>(Q15-T15*P15-T16*O15-T17*N15)/10.5</f>
        <v>2.0002523042258642</v>
      </c>
    </row>
    <row r="20" spans="1:20" x14ac:dyDescent="0.3">
      <c r="A20">
        <v>10.5</v>
      </c>
      <c r="B20">
        <v>-1.2</v>
      </c>
      <c r="C20">
        <v>2.1</v>
      </c>
      <c r="D20">
        <v>0.9</v>
      </c>
      <c r="E20">
        <v>17.7</v>
      </c>
      <c r="G20">
        <v>0</v>
      </c>
      <c r="H20">
        <f>H17-H16*2.6/11.337</f>
        <v>0</v>
      </c>
      <c r="I20">
        <f t="shared" ref="I20:K20" si="0">I17-I16*2.6/11.337</f>
        <v>0.83103466525535863</v>
      </c>
      <c r="J20">
        <f t="shared" si="0"/>
        <v>11.469589838581635</v>
      </c>
      <c r="K20">
        <f t="shared" si="0"/>
        <v>9.8082085207726912</v>
      </c>
      <c r="M20">
        <v>10.5</v>
      </c>
      <c r="N20">
        <v>-1.2</v>
      </c>
      <c r="O20">
        <v>2.1</v>
      </c>
      <c r="P20">
        <v>0.9</v>
      </c>
      <c r="Q20">
        <v>17.7</v>
      </c>
    </row>
    <row r="21" spans="1:20" x14ac:dyDescent="0.3">
      <c r="A21">
        <f>A16-A20*1.2/10.5</f>
        <v>0</v>
      </c>
      <c r="B21">
        <f t="shared" ref="B21:E21" si="1">B16-B20*1.2/10.5</f>
        <v>11.337142857142856</v>
      </c>
      <c r="C21">
        <f t="shared" si="1"/>
        <v>1.26</v>
      </c>
      <c r="D21">
        <f t="shared" si="1"/>
        <v>2.3971428571428572</v>
      </c>
      <c r="E21">
        <f t="shared" si="1"/>
        <v>-0.12285714285714278</v>
      </c>
      <c r="M21">
        <v>0</v>
      </c>
      <c r="N21">
        <v>11.337</v>
      </c>
      <c r="O21">
        <v>1.26</v>
      </c>
      <c r="P21">
        <v>2.4</v>
      </c>
      <c r="Q21">
        <v>-0.123</v>
      </c>
    </row>
    <row r="22" spans="1:20" x14ac:dyDescent="0.3">
      <c r="A22">
        <v>0.9</v>
      </c>
      <c r="B22">
        <v>2.5</v>
      </c>
      <c r="C22">
        <v>1.3</v>
      </c>
      <c r="D22">
        <v>12.1</v>
      </c>
      <c r="E22">
        <v>11.3</v>
      </c>
      <c r="G22">
        <v>0</v>
      </c>
      <c r="H22">
        <f>H18-H16*1.74/11.337</f>
        <v>0</v>
      </c>
      <c r="I22">
        <f t="shared" ref="I22:K22" si="2">I18-I16*1.74/11.337</f>
        <v>-10.413384493252185</v>
      </c>
      <c r="J22">
        <f t="shared" si="2"/>
        <v>0.75164858428155612</v>
      </c>
      <c r="K22">
        <f t="shared" si="2"/>
        <v>21.578878010055568</v>
      </c>
      <c r="M22">
        <v>0</v>
      </c>
      <c r="N22">
        <v>0</v>
      </c>
      <c r="O22">
        <v>-10.41</v>
      </c>
      <c r="P22">
        <v>0.75</v>
      </c>
      <c r="Q22">
        <v>21.58</v>
      </c>
    </row>
    <row r="23" spans="1:20" x14ac:dyDescent="0.3">
      <c r="A23">
        <v>2.1</v>
      </c>
      <c r="B23">
        <v>1.5</v>
      </c>
      <c r="C23">
        <v>-9.8000000000000007</v>
      </c>
      <c r="D23">
        <v>1.3</v>
      </c>
      <c r="E23">
        <v>25.1</v>
      </c>
      <c r="M23">
        <v>0</v>
      </c>
      <c r="N23">
        <v>0</v>
      </c>
      <c r="O23">
        <v>0.83099999999999996</v>
      </c>
      <c r="P23">
        <v>11.47</v>
      </c>
      <c r="Q23">
        <v>9.8000000000000007</v>
      </c>
    </row>
    <row r="25" spans="1:20" x14ac:dyDescent="0.3">
      <c r="A25">
        <v>10.5</v>
      </c>
      <c r="B25">
        <v>-1.2</v>
      </c>
      <c r="C25">
        <v>2.1</v>
      </c>
      <c r="D25">
        <v>0.9</v>
      </c>
      <c r="E25">
        <v>17.7</v>
      </c>
      <c r="M25">
        <v>0</v>
      </c>
      <c r="N25">
        <v>0</v>
      </c>
      <c r="O25">
        <f>O23-O22*0.831/(-10.41)</f>
        <v>0</v>
      </c>
      <c r="P25">
        <f t="shared" ref="P25:Q25" si="3">P23-P22*0.831/(-10.41)</f>
        <v>11.529870317002883</v>
      </c>
      <c r="Q25">
        <f t="shared" si="3"/>
        <v>11.522668587896254</v>
      </c>
    </row>
    <row r="26" spans="1:20" x14ac:dyDescent="0.3">
      <c r="A26">
        <f>A16-A25*1.2/10.5</f>
        <v>0</v>
      </c>
      <c r="B26">
        <f>B16-B25*1.2/10.5</f>
        <v>11.337142857142856</v>
      </c>
      <c r="C26">
        <f>C16-C25*1.2/10.5</f>
        <v>1.26</v>
      </c>
      <c r="D26">
        <f>D16-D25*1.2/10.5</f>
        <v>2.3971428571428572</v>
      </c>
      <c r="E26">
        <f>E16-E25*1.2/10.5</f>
        <v>-0.12285714285714278</v>
      </c>
    </row>
    <row r="27" spans="1:20" x14ac:dyDescent="0.3">
      <c r="A27">
        <f>A22-A25*0.9/10.5</f>
        <v>0</v>
      </c>
      <c r="B27">
        <f>B22-B25*0.9/10.5</f>
        <v>2.6028571428571428</v>
      </c>
      <c r="C27">
        <f t="shared" ref="B27:E27" si="4">C22-C25*0.9/10.5</f>
        <v>1.1200000000000001</v>
      </c>
      <c r="D27">
        <f t="shared" si="4"/>
        <v>12.022857142857143</v>
      </c>
      <c r="E27">
        <f t="shared" si="4"/>
        <v>9.7828571428571429</v>
      </c>
    </row>
    <row r="28" spans="1:20" x14ac:dyDescent="0.3">
      <c r="A28">
        <v>2.1</v>
      </c>
      <c r="B28">
        <v>1.5</v>
      </c>
      <c r="C28">
        <v>-9.8000000000000007</v>
      </c>
      <c r="D28">
        <v>1.3</v>
      </c>
      <c r="E28">
        <v>25.1</v>
      </c>
    </row>
    <row r="30" spans="1:20" x14ac:dyDescent="0.3">
      <c r="A30">
        <f>A28-A25*2.1/10.5</f>
        <v>0</v>
      </c>
      <c r="B30">
        <f t="shared" ref="B30:E30" si="5">B28-B25*2.1/10.5</f>
        <v>1.74</v>
      </c>
      <c r="C30">
        <f t="shared" si="5"/>
        <v>-10.220000000000001</v>
      </c>
      <c r="D30">
        <f t="shared" si="5"/>
        <v>1.1200000000000001</v>
      </c>
      <c r="E30">
        <f t="shared" si="5"/>
        <v>21.560000000000002</v>
      </c>
    </row>
    <row r="33" spans="1:18" x14ac:dyDescent="0.3">
      <c r="A33" t="s">
        <v>9</v>
      </c>
      <c r="J33" t="s">
        <v>10</v>
      </c>
      <c r="P33" t="s">
        <v>18</v>
      </c>
      <c r="R33" t="s">
        <v>19</v>
      </c>
    </row>
    <row r="34" spans="1:18" x14ac:dyDescent="0.3">
      <c r="A34">
        <v>0</v>
      </c>
      <c r="B34">
        <v>0.1143</v>
      </c>
      <c r="C34">
        <v>-0.2</v>
      </c>
      <c r="D34">
        <v>-8.5699999999999998E-2</v>
      </c>
      <c r="F34" cm="1">
        <f t="array" ref="F34">SUM(ABS(A34:A37))</f>
        <v>0.39580000000000004</v>
      </c>
      <c r="G34">
        <f>MAX(F34:F37)</f>
        <v>0.47400000000000003</v>
      </c>
      <c r="J34" t="s">
        <v>11</v>
      </c>
      <c r="K34">
        <f>LN((0.01*(1-G34))/B39)/LN(G34)</f>
        <v>9.2757545032542446</v>
      </c>
      <c r="P34">
        <f>(G34/(1-G34))*N46</f>
        <v>5.3357784250555201E-4</v>
      </c>
      <c r="R34">
        <f>ABS(2-J46)+ABS(0-K46)+ABS((-2)-L46)+ABS(1-M46)</f>
        <v>1.3870884838064677E-4</v>
      </c>
    </row>
    <row r="35" spans="1:18" x14ac:dyDescent="0.3">
      <c r="A35">
        <v>-0.1071</v>
      </c>
      <c r="B35">
        <v>0</v>
      </c>
      <c r="C35">
        <v>-0.13389999999999999</v>
      </c>
      <c r="D35">
        <v>-0.22320000000000001</v>
      </c>
      <c r="F35" cm="1">
        <f t="array" ref="F35">SUM(ABS(B34:B37))</f>
        <v>0.47400000000000003</v>
      </c>
      <c r="J35" t="s">
        <v>12</v>
      </c>
      <c r="K35">
        <f>LN((0.001*(1-G34))/B39)/LN(G34)</f>
        <v>12.360064185597482</v>
      </c>
    </row>
    <row r="36" spans="1:18" x14ac:dyDescent="0.3">
      <c r="A36">
        <v>0.21429999999999999</v>
      </c>
      <c r="B36">
        <v>0.15310000000000001</v>
      </c>
      <c r="C36">
        <v>0</v>
      </c>
      <c r="D36">
        <v>0.13270000000000001</v>
      </c>
      <c r="F36" cm="1">
        <f t="array" ref="F36">SUM(ABS(C34:C37))</f>
        <v>0.44129999999999997</v>
      </c>
    </row>
    <row r="37" spans="1:18" x14ac:dyDescent="0.3">
      <c r="A37">
        <v>-7.4399999999999994E-2</v>
      </c>
      <c r="B37">
        <v>-0.20660000000000001</v>
      </c>
      <c r="C37">
        <v>-0.1074</v>
      </c>
      <c r="D37">
        <v>0</v>
      </c>
      <c r="F37" cm="1">
        <f t="array" ref="F37">SUM(ABS(D34:D37))</f>
        <v>0.44159999999999999</v>
      </c>
      <c r="J37" t="s">
        <v>13</v>
      </c>
      <c r="K37" t="s">
        <v>16</v>
      </c>
      <c r="L37" t="s">
        <v>15</v>
      </c>
      <c r="M37" t="s">
        <v>14</v>
      </c>
      <c r="N37" t="s">
        <v>17</v>
      </c>
    </row>
    <row r="38" spans="1:18" x14ac:dyDescent="0.3">
      <c r="I38">
        <v>1</v>
      </c>
      <c r="J38">
        <v>0</v>
      </c>
      <c r="K38">
        <v>0</v>
      </c>
      <c r="L38">
        <v>0</v>
      </c>
      <c r="M38">
        <v>0</v>
      </c>
    </row>
    <row r="39" spans="1:18" x14ac:dyDescent="0.3">
      <c r="A39">
        <v>1.6857</v>
      </c>
      <c r="B39" cm="1">
        <f t="array" ref="B39">SUM(ABS(A39:A42))</f>
        <v>5.3504000000000005</v>
      </c>
      <c r="I39">
        <v>2</v>
      </c>
      <c r="J39">
        <f>1/10.5*(17.7+1.2*K38-2.1*L38-0.9*M38)</f>
        <v>1.6857142857142855</v>
      </c>
      <c r="K39">
        <f>1/11.2*(1.9-1.2*J38-1.5*L38-2.5*M38)</f>
        <v>0.16964285714285715</v>
      </c>
      <c r="L39">
        <f>(-1)/9.8*(25.1-2.1*J38-1.5*K38-1.3*M38)</f>
        <v>-2.5612244897959182</v>
      </c>
      <c r="M39">
        <f>(1/12.1)*(11.3-0.9*J38-2.5*K38-1.3*L38)</f>
        <v>0.93388429752066127</v>
      </c>
      <c r="N39">
        <f>ABS(J38-J39)+ABS(K38-K39)+ABS(L38-L39)+ABS(M38-M39)</f>
        <v>5.3504659301737227</v>
      </c>
    </row>
    <row r="40" spans="1:18" x14ac:dyDescent="0.3">
      <c r="A40">
        <v>0.1696</v>
      </c>
      <c r="I40">
        <v>3</v>
      </c>
      <c r="J40">
        <f>1/10.5*(17.7+1.2*K39-2.1*L39-0.9*M39)</f>
        <v>2.1372997132737392</v>
      </c>
      <c r="K40">
        <f>1/11.2*(1.9-1.2*J39-1.5*L39-2.5*M39)</f>
        <v>0.12359543286027512</v>
      </c>
      <c r="L40">
        <f>(-1)/9.8*(25.1-2.1*J39-1.5*K39-1.3*M39)</f>
        <v>-2.0501516456641689</v>
      </c>
      <c r="M40">
        <f>(1/12.1)*(11.3-0.9*J39-2.5*K39-1.3*L39)</f>
        <v>1.0486232922921235</v>
      </c>
      <c r="N40">
        <f t="shared" ref="N40:N45" si="6">ABS(J39-J40)+ABS(K39-K40)+ABS(L39-L40)+ABS(M39-M40)</f>
        <v>1.1234446907452473</v>
      </c>
    </row>
    <row r="41" spans="1:18" x14ac:dyDescent="0.3">
      <c r="A41">
        <v>-2.5611999999999999</v>
      </c>
      <c r="I41">
        <v>4</v>
      </c>
      <c r="J41">
        <f t="shared" ref="J41:J42" si="7">1/10.5*(17.7+1.2*K40-2.1*L40-0.9*M40)</f>
        <v>2.0199878106918261</v>
      </c>
      <c r="K41">
        <f t="shared" ref="K41:K42" si="8">1/11.2*(1.9-1.2*J40-1.5*L40-2.5*M40)</f>
        <v>-1.8847358764512753E-2</v>
      </c>
      <c r="L41">
        <f t="shared" ref="L41:L42" si="9">(-1)/9.8*(25.1-2.1*J40-1.5*K40-1.3*M40)</f>
        <v>-1.9452109360056096</v>
      </c>
      <c r="M41">
        <f t="shared" ref="M41:M42" si="10">(1/12.1)*(11.3-0.9*J40-2.5*K40-1.3*L40)</f>
        <v>0.9696395715096171</v>
      </c>
      <c r="N41">
        <f t="shared" si="6"/>
        <v>0.44367912464776671</v>
      </c>
    </row>
    <row r="42" spans="1:18" x14ac:dyDescent="0.3">
      <c r="A42">
        <v>0.93389999999999995</v>
      </c>
      <c r="I42">
        <v>5</v>
      </c>
      <c r="J42">
        <f t="shared" si="7"/>
        <v>1.9894905257843531</v>
      </c>
      <c r="K42">
        <f t="shared" si="8"/>
        <v>-2.7024908567696176E-3</v>
      </c>
      <c r="L42">
        <f t="shared" si="9"/>
        <v>-2.0026291012991253</v>
      </c>
      <c r="M42">
        <f t="shared" si="10"/>
        <v>0.99652095736330015</v>
      </c>
      <c r="N42">
        <f t="shared" si="6"/>
        <v>0.13094170396241486</v>
      </c>
    </row>
    <row r="43" spans="1:18" x14ac:dyDescent="0.3">
      <c r="I43">
        <v>6</v>
      </c>
      <c r="J43">
        <f t="shared" ref="J43:J44" si="11">1/10.5*(17.7+1.2*K42-2.1*L42-0.9*M42)</f>
        <v>2.0005151678164825</v>
      </c>
      <c r="K43">
        <f t="shared" ref="K43:K44" si="12">1/11.2*(1.9-1.2*J42-1.5*L42-2.5*M42)</f>
        <v>2.2546988927869232E-3</v>
      </c>
      <c r="L43">
        <f t="shared" ref="L43:L44" si="13">(-1)/9.8*(25.1-2.1*J42-1.5*K42-1.3*M42)</f>
        <v>-2.0031271824046657</v>
      </c>
      <c r="M43">
        <f t="shared" ref="M43:M44" si="14">(1/12.1)*(11.3-0.9*J42-2.5*K42-1.3*L42)</f>
        <v>1.0016225277375925</v>
      </c>
      <c r="N43">
        <f t="shared" si="6"/>
        <v>2.1581483261518694E-2</v>
      </c>
    </row>
    <row r="44" spans="1:18" x14ac:dyDescent="0.3">
      <c r="I44">
        <v>7</v>
      </c>
      <c r="J44">
        <f>1/10.5*(17.7+1.2*K43-2.1*L43-0.9*M43)</f>
        <v>2.0007440425483147</v>
      </c>
      <c r="K44">
        <f t="shared" si="12"/>
        <v>1.4511502891397958E-6</v>
      </c>
      <c r="L44">
        <f t="shared" si="13"/>
        <v>-1.999329266651769</v>
      </c>
      <c r="M44">
        <f t="shared" si="14"/>
        <v>0.99983181312886493</v>
      </c>
      <c r="N44">
        <f t="shared" si="6"/>
        <v>8.070752835954249E-3</v>
      </c>
    </row>
    <row r="45" spans="1:18" x14ac:dyDescent="0.3">
      <c r="I45">
        <v>8</v>
      </c>
      <c r="J45">
        <f t="shared" ref="J45" si="15">1/10.5*(17.7+1.2*K44-2.1*L44-0.9*M44)</f>
        <v>1.999880435193627</v>
      </c>
      <c r="K45">
        <f t="shared" ref="K45" si="16">1/11.2*(1.9-1.2*J44-1.5*L44-2.5*M44)</f>
        <v>-1.320074912934082E-4</v>
      </c>
      <c r="L45">
        <f t="shared" ref="L45" si="17">(-1)/9.8*(25.1-2.1*J44-1.5*K44-1.3*M44)</f>
        <v>-1.9998626506995492</v>
      </c>
      <c r="M45">
        <f t="shared" ref="M45" si="18">(1/12.1)*(11.3-0.9*J44-2.5*K44-1.3*L44)</f>
        <v>0.99987229590728055</v>
      </c>
      <c r="N45">
        <f t="shared" si="6"/>
        <v>1.5709328224660171E-3</v>
      </c>
    </row>
    <row r="46" spans="1:18" x14ac:dyDescent="0.3">
      <c r="I46">
        <v>9</v>
      </c>
      <c r="J46">
        <f t="shared" ref="J46" si="19">1/10.5*(17.7+1.2*K45-2.1*L45-0.9*M45)</f>
        <v>1.9999683896345664</v>
      </c>
      <c r="K46">
        <f t="shared" ref="K46" si="20">1/11.2*(1.9-1.2*J45-1.5*L45-2.5*M45)</f>
        <v>2.292089721158051E-5</v>
      </c>
      <c r="L46">
        <f t="shared" ref="L46" si="21">(-1)/9.8*(25.1-2.1*J45-1.5*K45-1.3*M45)</f>
        <v>-2.0000627665970261</v>
      </c>
      <c r="M46">
        <f t="shared" ref="M46" si="22">(1/12.1)*(11.3-0.9*J45-2.5*K45-1.3*L45)</f>
        <v>1.0000214109887093</v>
      </c>
      <c r="N46">
        <f t="shared" ref="N46" si="23">ABS(J45-J46)+ABS(K45-K46)+ABS(L45-L46)+ABS(M45-M46)</f>
        <v>5.9211380835004295E-4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 Kosta</dc:creator>
  <cp:lastModifiedBy>Kosta Kosta</cp:lastModifiedBy>
  <dcterms:created xsi:type="dcterms:W3CDTF">2026-04-28T15:43:50Z</dcterms:created>
  <dcterms:modified xsi:type="dcterms:W3CDTF">2026-05-03T11:18:21Z</dcterms:modified>
</cp:coreProperties>
</file>